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⚽ Real Madrid CF –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5C518"/>
      <sz val="16"/>
    </font>
    <font>
      <name val="Arial"/>
      <b val="1"/>
      <color rgb="00F5C518"/>
      <sz val="12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5C518"/>
      <sz val="13"/>
    </font>
    <font>
      <name val="Arial"/>
      <b val="1"/>
      <color rgb="00333333"/>
      <sz val="9"/>
    </font>
    <font>
      <name val="Arial"/>
      <b val="1"/>
      <color rgb="00F5C518"/>
      <sz val="11"/>
    </font>
    <font>
      <name val="Arial"/>
      <b val="1"/>
      <color rgb="00333333"/>
      <sz val="13"/>
    </font>
    <font>
      <name val="Arial"/>
      <b val="1"/>
      <color rgb="00333333"/>
      <sz val="10"/>
    </font>
    <font>
      <name val="Arial"/>
      <b val="1"/>
      <color rgb="00333333"/>
      <sz val="11"/>
    </font>
  </fonts>
  <fills count="24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F18F01"/>
      </patternFill>
    </fill>
    <fill>
      <patternFill patternType="solid">
        <fgColor rgb="006A4C93"/>
      </patternFill>
    </fill>
    <fill>
      <patternFill patternType="solid">
        <fgColor rgb="00E63946"/>
      </patternFill>
    </fill>
    <fill>
      <patternFill patternType="solid">
        <fgColor rgb="00FF6B6B"/>
      </patternFill>
    </fill>
    <fill>
      <patternFill patternType="solid">
        <fgColor rgb="00FFB4A2"/>
      </patternFill>
    </fill>
    <fill>
      <patternFill patternType="solid">
        <fgColor rgb="00B5838D"/>
      </patternFill>
    </fill>
    <fill>
      <patternFill patternType="solid">
        <fgColor rgb="006D6875"/>
      </patternFill>
    </fill>
    <fill>
      <patternFill patternType="solid">
        <fgColor rgb="00C6EFCE"/>
      </patternFill>
    </fill>
    <fill>
      <patternFill patternType="solid">
        <fgColor rgb="004A90D9"/>
      </patternFill>
    </fill>
    <fill>
      <patternFill patternType="solid">
        <fgColor rgb="00FFEB9C"/>
      </patternFill>
    </fill>
    <fill>
      <patternFill patternType="solid">
        <fgColor rgb="0027AE60"/>
      </patternFill>
    </fill>
    <fill>
      <patternFill patternType="solid">
        <fgColor rgb="00FFC7CE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C0392B"/>
      </patternFill>
    </fill>
    <fill>
      <patternFill patternType="solid">
        <fgColor rgb="00F5C51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20" customWidth="1" min="4" max="4"/>
    <col width="13" customWidth="1" min="5" max="5"/>
    <col width="13" customWidth="1" min="6" max="6"/>
    <col width="5" customWidth="1" min="7" max="7"/>
    <col width="9" customWidth="1" min="8" max="8"/>
    <col width="6" customWidth="1" min="9" max="9"/>
    <col width="8" customWidth="1" min="10" max="10"/>
    <col width="8" customWidth="1" min="11" max="11"/>
    <col width="6" customWidth="1" min="12" max="12"/>
    <col width="10" customWidth="1" min="13" max="13"/>
    <col width="9" customWidth="1" min="14" max="14"/>
    <col width="9" customWidth="1" min="15" max="15"/>
    <col width="12" customWidth="1" min="16" max="16"/>
    <col width="6" customWidth="1" min="17" max="17"/>
    <col width="28" customWidth="1" min="18" max="18"/>
  </cols>
  <sheetData>
    <row r="1" ht="45" customHeight="1">
      <c r="A1" s="1" t="inlineStr">
        <is>
          <t>⚽  REAL MADRID CF  —  FICHE COMPLÈTE ÉQUIPE 2024-2025</t>
        </is>
      </c>
    </row>
    <row r="3" ht="30" customHeight="1">
      <c r="A3" s="2" t="inlineStr">
        <is>
          <t>🏟️  INFORMATIONS CLUB</t>
        </is>
      </c>
      <c r="J3" s="3" t="inlineStr">
        <is>
          <t>🧠  STAFF TECHNIQUE</t>
        </is>
      </c>
    </row>
    <row r="4" ht="28" customHeight="1">
      <c r="A4" s="4" t="inlineStr">
        <is>
          <t>Nom officiel</t>
        </is>
      </c>
      <c r="C4" s="5" t="inlineStr">
        <is>
          <t>Real Madrid Club de Fútbol</t>
        </is>
      </c>
      <c r="J4" s="6" t="inlineStr">
        <is>
          <t>Prénom</t>
        </is>
      </c>
      <c r="K4" s="6" t="inlineStr">
        <is>
          <t>Nom</t>
        </is>
      </c>
      <c r="L4" s="6" t="inlineStr">
        <is>
          <t>Rôle</t>
        </is>
      </c>
      <c r="M4" s="6" t="inlineStr">
        <is>
          <t>Nationalité</t>
        </is>
      </c>
      <c r="N4" s="6" t="inlineStr">
        <is>
          <t>Depuis</t>
        </is>
      </c>
      <c r="O4" s="6" t="inlineStr">
        <is>
          <t>Contrat</t>
        </is>
      </c>
      <c r="P4" s="6" t="inlineStr">
        <is>
          <t>Notes</t>
        </is>
      </c>
    </row>
    <row r="5" ht="20" customHeight="1">
      <c r="A5" s="4" t="inlineStr">
        <is>
          <t>Surnom</t>
        </is>
      </c>
      <c r="C5" s="7" t="inlineStr">
        <is>
          <t>Los Blancos / Los Merengues</t>
        </is>
      </c>
      <c r="J5" s="8" t="inlineStr">
        <is>
          <t>Carlo</t>
        </is>
      </c>
      <c r="K5" s="8" t="inlineStr">
        <is>
          <t>Ancelotti</t>
        </is>
      </c>
      <c r="L5" s="9" t="inlineStr">
        <is>
          <t>Entraîneur principal</t>
        </is>
      </c>
      <c r="M5" s="8" t="inlineStr">
        <is>
          <t>Italien</t>
        </is>
      </c>
      <c r="N5" s="10" t="inlineStr">
        <is>
          <t>2021</t>
        </is>
      </c>
      <c r="O5" s="10" t="inlineStr">
        <is>
          <t>2026</t>
        </is>
      </c>
      <c r="P5" s="10" t="inlineStr">
        <is>
          <t>3x vainqueur UCL</t>
        </is>
      </c>
    </row>
    <row r="6" ht="20" customHeight="1">
      <c r="A6" s="4" t="inlineStr">
        <is>
          <t>Fondation</t>
        </is>
      </c>
      <c r="C6" s="5" t="inlineStr">
        <is>
          <t>6 mars 1902</t>
        </is>
      </c>
      <c r="J6" s="11" t="inlineStr">
        <is>
          <t>Davide</t>
        </is>
      </c>
      <c r="K6" s="11" t="inlineStr">
        <is>
          <t>Ancelotti</t>
        </is>
      </c>
      <c r="L6" s="12" t="inlineStr">
        <is>
          <t>Adjoint principal</t>
        </is>
      </c>
      <c r="M6" s="11" t="inlineStr">
        <is>
          <t>Italien</t>
        </is>
      </c>
      <c r="N6" s="13" t="inlineStr">
        <is>
          <t>2021</t>
        </is>
      </c>
      <c r="O6" s="13" t="inlineStr">
        <is>
          <t>2026</t>
        </is>
      </c>
      <c r="P6" s="13" t="inlineStr">
        <is>
          <t>Fils de Carlo</t>
        </is>
      </c>
    </row>
    <row r="7" ht="20" customHeight="1">
      <c r="A7" s="4" t="inlineStr">
        <is>
          <t>Stade</t>
        </is>
      </c>
      <c r="C7" s="7" t="inlineStr">
        <is>
          <t>Estadio Santiago Bernabéu</t>
        </is>
      </c>
      <c r="J7" s="8" t="inlineStr">
        <is>
          <t>Paul</t>
        </is>
      </c>
      <c r="K7" s="8" t="inlineStr">
        <is>
          <t>Clement</t>
        </is>
      </c>
      <c r="L7" s="12" t="inlineStr">
        <is>
          <t>Entraîneur adjoint</t>
        </is>
      </c>
      <c r="M7" s="8" t="inlineStr">
        <is>
          <t>Anglais</t>
        </is>
      </c>
      <c r="N7" s="10" t="inlineStr">
        <is>
          <t>2021</t>
        </is>
      </c>
      <c r="O7" s="10" t="inlineStr">
        <is>
          <t>2026</t>
        </is>
      </c>
      <c r="P7" s="10" t="inlineStr">
        <is>
          <t>Ex-Chelsea</t>
        </is>
      </c>
    </row>
    <row r="8" ht="20" customHeight="1">
      <c r="A8" s="4" t="inlineStr">
        <is>
          <t>Capacité</t>
        </is>
      </c>
      <c r="C8" s="5" t="inlineStr">
        <is>
          <t>81 044 places</t>
        </is>
      </c>
      <c r="J8" s="11" t="inlineStr">
        <is>
          <t>Francesco</t>
        </is>
      </c>
      <c r="K8" s="11" t="inlineStr">
        <is>
          <t>Mauri</t>
        </is>
      </c>
      <c r="L8" s="12" t="inlineStr">
        <is>
          <t>Adjoint / Analyse</t>
        </is>
      </c>
      <c r="M8" s="11" t="inlineStr">
        <is>
          <t>Italien</t>
        </is>
      </c>
      <c r="N8" s="13" t="inlineStr">
        <is>
          <t>2021</t>
        </is>
      </c>
      <c r="O8" s="13" t="inlineStr">
        <is>
          <t>2026</t>
        </is>
      </c>
      <c r="P8" s="13" t="inlineStr">
        <is>
          <t>Tactique</t>
        </is>
      </c>
    </row>
    <row r="9" ht="20" customHeight="1">
      <c r="A9" s="4" t="inlineStr">
        <is>
          <t>Ville</t>
        </is>
      </c>
      <c r="C9" s="7" t="inlineStr">
        <is>
          <t>Madrid, Espagne</t>
        </is>
      </c>
      <c r="J9" s="8" t="inlineStr">
        <is>
          <t>Antonio</t>
        </is>
      </c>
      <c r="K9" s="8" t="inlineStr">
        <is>
          <t>Pintus</t>
        </is>
      </c>
      <c r="L9" s="14" t="inlineStr">
        <is>
          <t>Préparateur physique</t>
        </is>
      </c>
      <c r="M9" s="8" t="inlineStr">
        <is>
          <t>Italien</t>
        </is>
      </c>
      <c r="N9" s="10" t="inlineStr">
        <is>
          <t>2021</t>
        </is>
      </c>
      <c r="O9" s="10" t="inlineStr">
        <is>
          <t>2026</t>
        </is>
      </c>
      <c r="P9" s="10" t="inlineStr">
        <is>
          <t>Expert condition</t>
        </is>
      </c>
    </row>
    <row r="10" ht="20" customHeight="1">
      <c r="A10" s="4" t="inlineStr">
        <is>
          <t>Président</t>
        </is>
      </c>
      <c r="C10" s="5" t="inlineStr">
        <is>
          <t>Florentino Pérez</t>
        </is>
      </c>
      <c r="J10" s="11" t="inlineStr">
        <is>
          <t>Simone</t>
        </is>
      </c>
      <c r="K10" s="11" t="inlineStr">
        <is>
          <t>Montanaro</t>
        </is>
      </c>
      <c r="L10" s="14" t="inlineStr">
        <is>
          <t>Préparateur physique</t>
        </is>
      </c>
      <c r="M10" s="11" t="inlineStr">
        <is>
          <t>Italien</t>
        </is>
      </c>
      <c r="N10" s="13" t="inlineStr">
        <is>
          <t>2021</t>
        </is>
      </c>
      <c r="O10" s="13" t="inlineStr">
        <is>
          <t>2026</t>
        </is>
      </c>
      <c r="P10" s="13" t="inlineStr">
        <is>
          <t>Adjoint Pintus</t>
        </is>
      </c>
    </row>
    <row r="11" ht="20" customHeight="1">
      <c r="A11" s="4" t="inlineStr">
        <is>
          <t>Entraîneur</t>
        </is>
      </c>
      <c r="C11" s="7" t="inlineStr">
        <is>
          <t>Carlo Ancelotti</t>
        </is>
      </c>
      <c r="J11" s="8" t="inlineStr">
        <is>
          <t>Yoann</t>
        </is>
      </c>
      <c r="K11" s="8" t="inlineStr">
        <is>
          <t>Blanc</t>
        </is>
      </c>
      <c r="L11" s="15" t="inlineStr">
        <is>
          <t>Entraîneur gardiens</t>
        </is>
      </c>
      <c r="M11" s="8" t="inlineStr">
        <is>
          <t>Français</t>
        </is>
      </c>
      <c r="N11" s="10" t="inlineStr">
        <is>
          <t>2022</t>
        </is>
      </c>
      <c r="O11" s="10" t="inlineStr">
        <is>
          <t>2026</t>
        </is>
      </c>
      <c r="P11" s="10" t="inlineStr">
        <is>
          <t>Ex-Lyon</t>
        </is>
      </c>
    </row>
    <row r="12" ht="20" customHeight="1">
      <c r="A12" s="4" t="inlineStr">
        <is>
          <t>Ligue</t>
        </is>
      </c>
      <c r="C12" s="5" t="inlineStr">
        <is>
          <t>La Liga (España)</t>
        </is>
      </c>
      <c r="J12" s="11" t="inlineStr">
        <is>
          <t>Julio</t>
        </is>
      </c>
      <c r="K12" s="11" t="inlineStr">
        <is>
          <t>Tous</t>
        </is>
      </c>
      <c r="L12" s="16" t="inlineStr">
        <is>
          <t>Directeur médical</t>
        </is>
      </c>
      <c r="M12" s="11" t="inlineStr">
        <is>
          <t>Espagnol</t>
        </is>
      </c>
      <c r="N12" s="13" t="inlineStr">
        <is>
          <t>2010</t>
        </is>
      </c>
      <c r="O12" s="13" t="inlineStr">
        <is>
          <t>2026</t>
        </is>
      </c>
      <c r="P12" s="13" t="inlineStr">
        <is>
          <t>Médecine sportive</t>
        </is>
      </c>
    </row>
    <row r="13" ht="20" customHeight="1">
      <c r="A13" s="4" t="inlineStr">
        <is>
          <t>Saison</t>
        </is>
      </c>
      <c r="C13" s="7" t="inlineStr">
        <is>
          <t>2024-2025</t>
        </is>
      </c>
      <c r="J13" s="8" t="inlineStr">
        <is>
          <t>Niko</t>
        </is>
      </c>
      <c r="K13" s="8" t="inlineStr">
        <is>
          <t>Mihajlovic</t>
        </is>
      </c>
      <c r="L13" s="17" t="inlineStr">
        <is>
          <t>Médecin équipe</t>
        </is>
      </c>
      <c r="M13" s="8" t="inlineStr">
        <is>
          <t>Espagnol</t>
        </is>
      </c>
      <c r="N13" s="10" t="inlineStr">
        <is>
          <t>2015</t>
        </is>
      </c>
      <c r="O13" s="10" t="inlineStr">
        <is>
          <t>2026</t>
        </is>
      </c>
      <c r="P13" s="10" t="inlineStr">
        <is>
          <t>Orthopédie</t>
        </is>
      </c>
    </row>
    <row r="14" ht="20" customHeight="1">
      <c r="A14" s="4" t="inlineStr">
        <is>
          <t>Couleurs</t>
        </is>
      </c>
      <c r="C14" s="5" t="inlineStr">
        <is>
          <t>Blanc &amp; Or</t>
        </is>
      </c>
      <c r="J14" s="11" t="inlineStr">
        <is>
          <t>Luis</t>
        </is>
      </c>
      <c r="K14" s="11" t="inlineStr">
        <is>
          <t>Fernández</t>
        </is>
      </c>
      <c r="L14" s="18" t="inlineStr">
        <is>
          <t>Kinésithérapeute</t>
        </is>
      </c>
      <c r="M14" s="11" t="inlineStr">
        <is>
          <t>Espagnol</t>
        </is>
      </c>
      <c r="N14" s="13" t="inlineStr">
        <is>
          <t>2012</t>
        </is>
      </c>
      <c r="O14" s="13" t="inlineStr">
        <is>
          <t>2026</t>
        </is>
      </c>
      <c r="P14" s="13" t="inlineStr">
        <is>
          <t>Récupération</t>
        </is>
      </c>
    </row>
    <row r="15" ht="20" customHeight="1">
      <c r="A15" s="4" t="inlineStr">
        <is>
          <t>Site web</t>
        </is>
      </c>
      <c r="C15" s="7" t="inlineStr">
        <is>
          <t>www.realmadrid.com</t>
        </is>
      </c>
      <c r="J15" s="8" t="inlineStr">
        <is>
          <t>Carlos</t>
        </is>
      </c>
      <c r="K15" s="8" t="inlineStr">
        <is>
          <t>Lalín</t>
        </is>
      </c>
      <c r="L15" s="19" t="inlineStr">
        <is>
          <t>Préparateur mental</t>
        </is>
      </c>
      <c r="M15" s="8" t="inlineStr">
        <is>
          <t>Espagnol</t>
        </is>
      </c>
      <c r="N15" s="10" t="inlineStr">
        <is>
          <t>2018</t>
        </is>
      </c>
      <c r="O15" s="10" t="inlineStr">
        <is>
          <t>2026</t>
        </is>
      </c>
      <c r="P15" s="10" t="inlineStr">
        <is>
          <t>Psychologue sport</t>
        </is>
      </c>
    </row>
    <row r="16" ht="20" customHeight="1">
      <c r="A16" s="4" t="inlineStr">
        <is>
          <t>Titres Liga</t>
        </is>
      </c>
      <c r="C16" s="5" t="inlineStr">
        <is>
          <t>36</t>
        </is>
      </c>
      <c r="J16" s="11" t="inlineStr">
        <is>
          <t>Jacobo</t>
        </is>
      </c>
      <c r="K16" s="11" t="inlineStr">
        <is>
          <t>Borrero</t>
        </is>
      </c>
      <c r="L16" s="20" t="inlineStr">
        <is>
          <t>Analyste vidéo</t>
        </is>
      </c>
      <c r="M16" s="11" t="inlineStr">
        <is>
          <t>Espagnol</t>
        </is>
      </c>
      <c r="N16" s="13" t="inlineStr">
        <is>
          <t>2019</t>
        </is>
      </c>
      <c r="O16" s="13" t="inlineStr">
        <is>
          <t>2026</t>
        </is>
      </c>
      <c r="P16" s="13" t="inlineStr">
        <is>
          <t>Tactique vidéo</t>
        </is>
      </c>
    </row>
    <row r="17" ht="20" customHeight="1">
      <c r="A17" s="4" t="inlineStr">
        <is>
          <t>Titres UCL</t>
        </is>
      </c>
      <c r="C17" s="7" t="inlineStr">
        <is>
          <t>15</t>
        </is>
      </c>
      <c r="J17" s="8" t="inlineStr">
        <is>
          <t>Raúl</t>
        </is>
      </c>
      <c r="K17" s="8" t="inlineStr">
        <is>
          <t>González</t>
        </is>
      </c>
      <c r="L17" s="9" t="inlineStr">
        <is>
          <t>Coordinateur jeunes</t>
        </is>
      </c>
      <c r="M17" s="8" t="inlineStr">
        <is>
          <t>Espagnol</t>
        </is>
      </c>
      <c r="N17" s="10" t="inlineStr">
        <is>
          <t>2023</t>
        </is>
      </c>
      <c r="O17" s="10" t="inlineStr">
        <is>
          <t>2027</t>
        </is>
      </c>
      <c r="P17" s="10" t="inlineStr">
        <is>
          <t>Légende du club</t>
        </is>
      </c>
    </row>
    <row r="18" ht="20" customHeight="1">
      <c r="A18" s="4" t="inlineStr">
        <is>
          <t>Titres Copa</t>
        </is>
      </c>
      <c r="C18" s="5" t="inlineStr">
        <is>
          <t>20</t>
        </is>
      </c>
    </row>
    <row r="19" ht="20" customHeight="1">
      <c r="A19" s="4" t="inlineStr">
        <is>
          <t>Valeur club</t>
        </is>
      </c>
      <c r="C19" s="7" t="inlineStr">
        <is>
          <t>≈ 6,6 milliards €</t>
        </is>
      </c>
    </row>
    <row r="24" ht="30" customHeight="1">
      <c r="A24" s="21" t="inlineStr">
        <is>
          <t>👕  EFFECTIF JOUEURS — SAISON 2024-2025</t>
        </is>
      </c>
    </row>
    <row r="25" ht="30" customHeight="1">
      <c r="A25" s="22" t="inlineStr">
        <is>
          <t>#</t>
        </is>
      </c>
      <c r="B25" s="22" t="inlineStr">
        <is>
          <t>Prénom</t>
        </is>
      </c>
      <c r="C25" s="22" t="inlineStr">
        <is>
          <t>Nom</t>
        </is>
      </c>
      <c r="D25" s="22" t="inlineStr">
        <is>
          <t>Poste</t>
        </is>
      </c>
      <c r="E25" s="22" t="inlineStr">
        <is>
          <t>Nat.</t>
        </is>
      </c>
      <c r="F25" s="22" t="inlineStr">
        <is>
          <t>Naissance</t>
        </is>
      </c>
      <c r="G25" s="22" t="inlineStr">
        <is>
          <t>Âge</t>
        </is>
      </c>
      <c r="H25" s="22" t="inlineStr">
        <is>
          <t>Taille</t>
        </is>
      </c>
      <c r="I25" s="22" t="inlineStr">
        <is>
          <t>Pied</t>
        </is>
      </c>
      <c r="J25" s="22" t="inlineStr">
        <is>
          <t>Maillot</t>
        </is>
      </c>
      <c r="K25" s="22" t="inlineStr">
        <is>
          <t>Matchs</t>
        </is>
      </c>
      <c r="L25" s="22" t="inlineStr">
        <is>
          <t>Buts</t>
        </is>
      </c>
      <c r="M25" s="22" t="inlineStr">
        <is>
          <t>Passes D.</t>
        </is>
      </c>
      <c r="N25" s="22" t="inlineStr">
        <is>
          <t>Val. M€</t>
        </is>
      </c>
      <c r="O25" s="22" t="inlineStr">
        <is>
          <t>Contrat</t>
        </is>
      </c>
      <c r="P25" s="22" t="inlineStr">
        <is>
          <t>Statut</t>
        </is>
      </c>
      <c r="Q25" s="22" t="inlineStr">
        <is>
          <t>Profil</t>
        </is>
      </c>
      <c r="R25" s="22" t="inlineStr">
        <is>
          <t>Remarques</t>
        </is>
      </c>
    </row>
    <row r="26" ht="22" customHeight="1">
      <c r="A26" s="13" t="n">
        <v>1</v>
      </c>
      <c r="B26" s="11" t="inlineStr">
        <is>
          <t>Thibaut</t>
        </is>
      </c>
      <c r="C26" s="11" t="inlineStr">
        <is>
          <t>Courtois</t>
        </is>
      </c>
      <c r="D26" s="11" t="inlineStr">
        <is>
          <t>Gardien</t>
        </is>
      </c>
      <c r="E26" s="11" t="inlineStr">
        <is>
          <t>🇧🇪 BEL</t>
        </is>
      </c>
      <c r="F26" s="11" t="inlineStr">
        <is>
          <t>11/05/1992</t>
        </is>
      </c>
      <c r="G26" s="13" t="n">
        <v>32</v>
      </c>
      <c r="H26" s="13" t="inlineStr">
        <is>
          <t>199 cm</t>
        </is>
      </c>
      <c r="I26" s="13" t="inlineStr">
        <is>
          <t>D</t>
        </is>
      </c>
      <c r="J26" s="13" t="n">
        <v>1</v>
      </c>
      <c r="K26" s="13" t="n">
        <v>22</v>
      </c>
      <c r="L26" s="13" t="n">
        <v>0</v>
      </c>
      <c r="M26" s="13" t="n">
        <v>0</v>
      </c>
      <c r="N26" s="13" t="n">
        <v>80</v>
      </c>
      <c r="O26" s="13" t="inlineStr">
        <is>
          <t>2026</t>
        </is>
      </c>
      <c r="P26" s="23" t="inlineStr">
        <is>
          <t>Titulaire</t>
        </is>
      </c>
      <c r="Q26" s="24" t="inlineStr">
        <is>
          <t>GK</t>
        </is>
      </c>
      <c r="R26" s="11" t="inlineStr">
        <is>
          <t>Retour blessure</t>
        </is>
      </c>
    </row>
    <row r="27" ht="22" customHeight="1">
      <c r="A27" s="10" t="n">
        <v>2</v>
      </c>
      <c r="B27" s="8" t="inlineStr">
        <is>
          <t>Andriy</t>
        </is>
      </c>
      <c r="C27" s="8" t="inlineStr">
        <is>
          <t>Lunin</t>
        </is>
      </c>
      <c r="D27" s="8" t="inlineStr">
        <is>
          <t>Gardien</t>
        </is>
      </c>
      <c r="E27" s="8" t="inlineStr">
        <is>
          <t>🇺🇦 UKR</t>
        </is>
      </c>
      <c r="F27" s="8" t="inlineStr">
        <is>
          <t>11/02/1999</t>
        </is>
      </c>
      <c r="G27" s="10" t="n">
        <v>25</v>
      </c>
      <c r="H27" s="10" t="inlineStr">
        <is>
          <t>195 cm</t>
        </is>
      </c>
      <c r="I27" s="10" t="inlineStr">
        <is>
          <t>D</t>
        </is>
      </c>
      <c r="J27" s="10" t="n">
        <v>13</v>
      </c>
      <c r="K27" s="10" t="n">
        <v>14</v>
      </c>
      <c r="L27" s="10" t="n">
        <v>0</v>
      </c>
      <c r="M27" s="10" t="n">
        <v>1</v>
      </c>
      <c r="N27" s="10" t="n">
        <v>18</v>
      </c>
      <c r="O27" s="10" t="inlineStr">
        <is>
          <t>2025</t>
        </is>
      </c>
      <c r="P27" s="25" t="inlineStr">
        <is>
          <t>Remplaçant</t>
        </is>
      </c>
      <c r="Q27" s="24" t="inlineStr">
        <is>
          <t>GK</t>
        </is>
      </c>
      <c r="R27" s="8" t="inlineStr">
        <is>
          <t>Contrat à renouveler</t>
        </is>
      </c>
    </row>
    <row r="28" ht="22" customHeight="1">
      <c r="A28" s="13" t="n">
        <v>3</v>
      </c>
      <c r="B28" s="11" t="inlineStr">
        <is>
          <t>Dani</t>
        </is>
      </c>
      <c r="C28" s="11" t="inlineStr">
        <is>
          <t>Carvajal</t>
        </is>
      </c>
      <c r="D28" s="11" t="inlineStr">
        <is>
          <t>Défenseur D</t>
        </is>
      </c>
      <c r="E28" s="11" t="inlineStr">
        <is>
          <t>🇪🇸 ESP</t>
        </is>
      </c>
      <c r="F28" s="11" t="inlineStr">
        <is>
          <t>11/01/1992</t>
        </is>
      </c>
      <c r="G28" s="13" t="n">
        <v>32</v>
      </c>
      <c r="H28" s="13" t="inlineStr">
        <is>
          <t>173 cm</t>
        </is>
      </c>
      <c r="I28" s="13" t="inlineStr">
        <is>
          <t>D</t>
        </is>
      </c>
      <c r="J28" s="13" t="n">
        <v>2</v>
      </c>
      <c r="K28" s="13" t="n">
        <v>20</v>
      </c>
      <c r="L28" s="13" t="n">
        <v>2</v>
      </c>
      <c r="M28" s="13" t="n">
        <v>3</v>
      </c>
      <c r="N28" s="13" t="n">
        <v>30</v>
      </c>
      <c r="O28" s="13" t="inlineStr">
        <is>
          <t>2026</t>
        </is>
      </c>
      <c r="P28" s="23" t="inlineStr">
        <is>
          <t>Titulaire</t>
        </is>
      </c>
      <c r="Q28" s="26" t="inlineStr">
        <is>
          <t>DEF</t>
        </is>
      </c>
      <c r="R28" s="11" t="inlineStr">
        <is>
          <t>Blessure en fin saison</t>
        </is>
      </c>
    </row>
    <row r="29" ht="22" customHeight="1">
      <c r="A29" s="10" t="n">
        <v>4</v>
      </c>
      <c r="B29" s="8" t="inlineStr">
        <is>
          <t>Éder</t>
        </is>
      </c>
      <c r="C29" s="8" t="inlineStr">
        <is>
          <t>Militão</t>
        </is>
      </c>
      <c r="D29" s="8" t="inlineStr">
        <is>
          <t>Défenseur C</t>
        </is>
      </c>
      <c r="E29" s="8" t="inlineStr">
        <is>
          <t>🇧🇷 BRA</t>
        </is>
      </c>
      <c r="F29" s="8" t="inlineStr">
        <is>
          <t>18/01/1998</t>
        </is>
      </c>
      <c r="G29" s="10" t="n">
        <v>26</v>
      </c>
      <c r="H29" s="10" t="inlineStr">
        <is>
          <t>186 cm</t>
        </is>
      </c>
      <c r="I29" s="10" t="inlineStr">
        <is>
          <t>D</t>
        </is>
      </c>
      <c r="J29" s="10" t="n">
        <v>3</v>
      </c>
      <c r="K29" s="10" t="n">
        <v>18</v>
      </c>
      <c r="L29" s="10" t="n">
        <v>2</v>
      </c>
      <c r="M29" s="10" t="n">
        <v>0</v>
      </c>
      <c r="N29" s="10" t="n">
        <v>100</v>
      </c>
      <c r="O29" s="10" t="inlineStr">
        <is>
          <t>2027</t>
        </is>
      </c>
      <c r="P29" s="23" t="inlineStr">
        <is>
          <t>Titulaire</t>
        </is>
      </c>
      <c r="Q29" s="26" t="inlineStr">
        <is>
          <t>DEF</t>
        </is>
      </c>
      <c r="R29" s="8" t="inlineStr">
        <is>
          <t>Excellent en UCL</t>
        </is>
      </c>
    </row>
    <row r="30" ht="22" customHeight="1">
      <c r="A30" s="13" t="n">
        <v>5</v>
      </c>
      <c r="B30" s="11" t="inlineStr">
        <is>
          <t>Antonio</t>
        </is>
      </c>
      <c r="C30" s="11" t="inlineStr">
        <is>
          <t>Rüdiger</t>
        </is>
      </c>
      <c r="D30" s="11" t="inlineStr">
        <is>
          <t>Défenseur C</t>
        </is>
      </c>
      <c r="E30" s="11" t="inlineStr">
        <is>
          <t>🇩🇪 GER</t>
        </is>
      </c>
      <c r="F30" s="11" t="inlineStr">
        <is>
          <t>03/03/1993</t>
        </is>
      </c>
      <c r="G30" s="13" t="n">
        <v>31</v>
      </c>
      <c r="H30" s="13" t="inlineStr">
        <is>
          <t>190 cm</t>
        </is>
      </c>
      <c r="I30" s="13" t="inlineStr">
        <is>
          <t>D</t>
        </is>
      </c>
      <c r="J30" s="13" t="n">
        <v>22</v>
      </c>
      <c r="K30" s="13" t="n">
        <v>30</v>
      </c>
      <c r="L30" s="13" t="n">
        <v>3</v>
      </c>
      <c r="M30" s="13" t="n">
        <v>1</v>
      </c>
      <c r="N30" s="13" t="n">
        <v>60</v>
      </c>
      <c r="O30" s="13" t="inlineStr">
        <is>
          <t>2027</t>
        </is>
      </c>
      <c r="P30" s="23" t="inlineStr">
        <is>
          <t>Titulaire</t>
        </is>
      </c>
      <c r="Q30" s="26" t="inlineStr">
        <is>
          <t>DEF</t>
        </is>
      </c>
      <c r="R30" s="11" t="inlineStr">
        <is>
          <t>Leader défensif</t>
        </is>
      </c>
    </row>
    <row r="31" ht="22" customHeight="1">
      <c r="A31" s="10" t="n">
        <v>6</v>
      </c>
      <c r="B31" s="8" t="inlineStr">
        <is>
          <t>David</t>
        </is>
      </c>
      <c r="C31" s="8" t="inlineStr">
        <is>
          <t>Alaba</t>
        </is>
      </c>
      <c r="D31" s="8" t="inlineStr">
        <is>
          <t>Défenseur C</t>
        </is>
      </c>
      <c r="E31" s="8" t="inlineStr">
        <is>
          <t>🇦🇹 AUT</t>
        </is>
      </c>
      <c r="F31" s="8" t="inlineStr">
        <is>
          <t>24/06/1992</t>
        </is>
      </c>
      <c r="G31" s="10" t="n">
        <v>32</v>
      </c>
      <c r="H31" s="10" t="inlineStr">
        <is>
          <t>183 cm</t>
        </is>
      </c>
      <c r="I31" s="10" t="inlineStr">
        <is>
          <t>G</t>
        </is>
      </c>
      <c r="J31" s="10" t="n">
        <v>4</v>
      </c>
      <c r="K31" s="10" t="n">
        <v>8</v>
      </c>
      <c r="L31" s="10" t="n">
        <v>0</v>
      </c>
      <c r="M31" s="10" t="n">
        <v>1</v>
      </c>
      <c r="N31" s="10" t="n">
        <v>45</v>
      </c>
      <c r="O31" s="10" t="inlineStr">
        <is>
          <t>2026</t>
        </is>
      </c>
      <c r="P31" s="27" t="inlineStr">
        <is>
          <t>Blessé</t>
        </is>
      </c>
      <c r="Q31" s="26" t="inlineStr">
        <is>
          <t>DEF</t>
        </is>
      </c>
      <c r="R31" s="8" t="inlineStr">
        <is>
          <t>LCA – absent longue durée</t>
        </is>
      </c>
    </row>
    <row r="32" ht="22" customHeight="1">
      <c r="A32" s="13" t="n">
        <v>7</v>
      </c>
      <c r="B32" s="11" t="inlineStr">
        <is>
          <t>Ferland</t>
        </is>
      </c>
      <c r="C32" s="11" t="inlineStr">
        <is>
          <t>Mendy</t>
        </is>
      </c>
      <c r="D32" s="11" t="inlineStr">
        <is>
          <t>Défenseur G</t>
        </is>
      </c>
      <c r="E32" s="11" t="inlineStr">
        <is>
          <t>🇫🇷 FRA</t>
        </is>
      </c>
      <c r="F32" s="11" t="inlineStr">
        <is>
          <t>08/06/1995</t>
        </is>
      </c>
      <c r="G32" s="13" t="n">
        <v>29</v>
      </c>
      <c r="H32" s="13" t="inlineStr">
        <is>
          <t>180 cm</t>
        </is>
      </c>
      <c r="I32" s="13" t="inlineStr">
        <is>
          <t>G</t>
        </is>
      </c>
      <c r="J32" s="13" t="n">
        <v>23</v>
      </c>
      <c r="K32" s="13" t="n">
        <v>18</v>
      </c>
      <c r="L32" s="13" t="n">
        <v>1</v>
      </c>
      <c r="M32" s="13" t="n">
        <v>2</v>
      </c>
      <c r="N32" s="13" t="n">
        <v>20</v>
      </c>
      <c r="O32" s="13" t="inlineStr">
        <is>
          <t>2025</t>
        </is>
      </c>
      <c r="P32" s="23" t="inlineStr">
        <is>
          <t>Titulaire</t>
        </is>
      </c>
      <c r="Q32" s="26" t="inlineStr">
        <is>
          <t>DEF</t>
        </is>
      </c>
      <c r="R32" s="11" t="inlineStr">
        <is>
          <t>Fin de contrat proche</t>
        </is>
      </c>
    </row>
    <row r="33" ht="22" customHeight="1">
      <c r="A33" s="10" t="n">
        <v>8</v>
      </c>
      <c r="B33" s="8" t="inlineStr">
        <is>
          <t>Lucas</t>
        </is>
      </c>
      <c r="C33" s="8" t="inlineStr">
        <is>
          <t>Vázquez</t>
        </is>
      </c>
      <c r="D33" s="8" t="inlineStr">
        <is>
          <t>Défenseur/Ailier</t>
        </is>
      </c>
      <c r="E33" s="8" t="inlineStr">
        <is>
          <t>🇪🇸 ESP</t>
        </is>
      </c>
      <c r="F33" s="8" t="inlineStr">
        <is>
          <t>01/07/1991</t>
        </is>
      </c>
      <c r="G33" s="10" t="n">
        <v>33</v>
      </c>
      <c r="H33" s="10" t="inlineStr">
        <is>
          <t>173 cm</t>
        </is>
      </c>
      <c r="I33" s="10" t="inlineStr">
        <is>
          <t>D</t>
        </is>
      </c>
      <c r="J33" s="10" t="n">
        <v>17</v>
      </c>
      <c r="K33" s="10" t="n">
        <v>28</v>
      </c>
      <c r="L33" s="10" t="n">
        <v>3</v>
      </c>
      <c r="M33" s="10" t="n">
        <v>4</v>
      </c>
      <c r="N33" s="10" t="n">
        <v>12</v>
      </c>
      <c r="O33" s="10" t="inlineStr">
        <is>
          <t>2026</t>
        </is>
      </c>
      <c r="P33" s="23" t="inlineStr">
        <is>
          <t>Titulaire</t>
        </is>
      </c>
      <c r="Q33" s="26" t="inlineStr">
        <is>
          <t>DEF</t>
        </is>
      </c>
      <c r="R33" s="8" t="inlineStr">
        <is>
          <t>Polyvalent</t>
        </is>
      </c>
    </row>
    <row r="34" ht="22" customHeight="1">
      <c r="A34" s="13" t="n">
        <v>9</v>
      </c>
      <c r="B34" s="11" t="inlineStr">
        <is>
          <t>Aurélien</t>
        </is>
      </c>
      <c r="C34" s="11" t="inlineStr">
        <is>
          <t>Tchouaméni</t>
        </is>
      </c>
      <c r="D34" s="11" t="inlineStr">
        <is>
          <t>Milieu défensif</t>
        </is>
      </c>
      <c r="E34" s="11" t="inlineStr">
        <is>
          <t>🇫🇷 FRA</t>
        </is>
      </c>
      <c r="F34" s="11" t="inlineStr">
        <is>
          <t>27/01/2000</t>
        </is>
      </c>
      <c r="G34" s="13" t="n">
        <v>24</v>
      </c>
      <c r="H34" s="13" t="inlineStr">
        <is>
          <t>187 cm</t>
        </is>
      </c>
      <c r="I34" s="13" t="inlineStr">
        <is>
          <t>D</t>
        </is>
      </c>
      <c r="J34" s="13" t="n">
        <v>18</v>
      </c>
      <c r="K34" s="13" t="n">
        <v>28</v>
      </c>
      <c r="L34" s="13" t="n">
        <v>2</v>
      </c>
      <c r="M34" s="13" t="n">
        <v>4</v>
      </c>
      <c r="N34" s="13" t="n">
        <v>90</v>
      </c>
      <c r="O34" s="13" t="inlineStr">
        <is>
          <t>2028</t>
        </is>
      </c>
      <c r="P34" s="23" t="inlineStr">
        <is>
          <t>Titulaire</t>
        </is>
      </c>
      <c r="Q34" s="28" t="inlineStr">
        <is>
          <t>MDF</t>
        </is>
      </c>
      <c r="R34" s="11" t="inlineStr">
        <is>
          <t>Cadre pour l'avenir</t>
        </is>
      </c>
    </row>
    <row r="35" ht="22" customHeight="1">
      <c r="A35" s="10" t="n">
        <v>10</v>
      </c>
      <c r="B35" s="8" t="inlineStr">
        <is>
          <t>Luka</t>
        </is>
      </c>
      <c r="C35" s="8" t="inlineStr">
        <is>
          <t>Modrić</t>
        </is>
      </c>
      <c r="D35" s="8" t="inlineStr">
        <is>
          <t>Milieu central</t>
        </is>
      </c>
      <c r="E35" s="8" t="inlineStr">
        <is>
          <t>🇭🇷 CRO</t>
        </is>
      </c>
      <c r="F35" s="8" t="inlineStr">
        <is>
          <t>09/09/1985</t>
        </is>
      </c>
      <c r="G35" s="10" t="n">
        <v>38</v>
      </c>
      <c r="H35" s="10" t="inlineStr">
        <is>
          <t>172 cm</t>
        </is>
      </c>
      <c r="I35" s="10" t="inlineStr">
        <is>
          <t>D</t>
        </is>
      </c>
      <c r="J35" s="10" t="n">
        <v>10</v>
      </c>
      <c r="K35" s="10" t="n">
        <v>22</v>
      </c>
      <c r="L35" s="10" t="n">
        <v>2</v>
      </c>
      <c r="M35" s="10" t="n">
        <v>7</v>
      </c>
      <c r="N35" s="10" t="n">
        <v>12</v>
      </c>
      <c r="O35" s="10" t="inlineStr">
        <is>
          <t>2025</t>
        </is>
      </c>
      <c r="P35" s="23" t="inlineStr">
        <is>
          <t>Titulaire</t>
        </is>
      </c>
      <c r="Q35" s="29" t="inlineStr">
        <is>
          <t>MCE</t>
        </is>
      </c>
      <c r="R35" s="8" t="inlineStr">
        <is>
          <t>Légende vivante</t>
        </is>
      </c>
    </row>
    <row r="36" ht="22" customHeight="1">
      <c r="A36" s="13" t="n">
        <v>11</v>
      </c>
      <c r="B36" s="11" t="inlineStr">
        <is>
          <t>Federico</t>
        </is>
      </c>
      <c r="C36" s="11" t="inlineStr">
        <is>
          <t>Valverde</t>
        </is>
      </c>
      <c r="D36" s="11" t="inlineStr">
        <is>
          <t>Milieu central</t>
        </is>
      </c>
      <c r="E36" s="11" t="inlineStr">
        <is>
          <t>🇺🇾 URU</t>
        </is>
      </c>
      <c r="F36" s="11" t="inlineStr">
        <is>
          <t>22/07/1998</t>
        </is>
      </c>
      <c r="G36" s="13" t="n">
        <v>26</v>
      </c>
      <c r="H36" s="13" t="inlineStr">
        <is>
          <t>182 cm</t>
        </is>
      </c>
      <c r="I36" s="13" t="inlineStr">
        <is>
          <t>D</t>
        </is>
      </c>
      <c r="J36" s="13" t="n">
        <v>15</v>
      </c>
      <c r="K36" s="13" t="n">
        <v>35</v>
      </c>
      <c r="L36" s="13" t="n">
        <v>8</v>
      </c>
      <c r="M36" s="13" t="n">
        <v>10</v>
      </c>
      <c r="N36" s="13" t="n">
        <v>150</v>
      </c>
      <c r="O36" s="13" t="inlineStr">
        <is>
          <t>2029</t>
        </is>
      </c>
      <c r="P36" s="23" t="inlineStr">
        <is>
          <t>Titulaire</t>
        </is>
      </c>
      <c r="Q36" s="29" t="inlineStr">
        <is>
          <t>MCE</t>
        </is>
      </c>
      <c r="R36" s="11" t="inlineStr">
        <is>
          <t>Moteur de l'équipe</t>
        </is>
      </c>
    </row>
    <row r="37" ht="22" customHeight="1">
      <c r="A37" s="10" t="n">
        <v>12</v>
      </c>
      <c r="B37" s="8" t="inlineStr">
        <is>
          <t>Eduardo</t>
        </is>
      </c>
      <c r="C37" s="8" t="inlineStr">
        <is>
          <t>Camavinga</t>
        </is>
      </c>
      <c r="D37" s="8" t="inlineStr">
        <is>
          <t>Milieu central</t>
        </is>
      </c>
      <c r="E37" s="8" t="inlineStr">
        <is>
          <t>🇫🇷 FRA</t>
        </is>
      </c>
      <c r="F37" s="8" t="inlineStr">
        <is>
          <t>10/11/2002</t>
        </is>
      </c>
      <c r="G37" s="10" t="n">
        <v>21</v>
      </c>
      <c r="H37" s="10" t="inlineStr">
        <is>
          <t>181 cm</t>
        </is>
      </c>
      <c r="I37" s="10" t="inlineStr">
        <is>
          <t>G</t>
        </is>
      </c>
      <c r="J37" s="10" t="n">
        <v>12</v>
      </c>
      <c r="K37" s="10" t="n">
        <v>30</v>
      </c>
      <c r="L37" s="10" t="n">
        <v>3</v>
      </c>
      <c r="M37" s="10" t="n">
        <v>5</v>
      </c>
      <c r="N37" s="10" t="n">
        <v>120</v>
      </c>
      <c r="O37" s="10" t="inlineStr">
        <is>
          <t>2029</t>
        </is>
      </c>
      <c r="P37" s="23" t="inlineStr">
        <is>
          <t>Titulaire</t>
        </is>
      </c>
      <c r="Q37" s="29" t="inlineStr">
        <is>
          <t>MCE</t>
        </is>
      </c>
      <c r="R37" s="8" t="inlineStr">
        <is>
          <t>Grand avenir</t>
        </is>
      </c>
    </row>
    <row r="38" ht="22" customHeight="1">
      <c r="A38" s="13" t="n">
        <v>13</v>
      </c>
      <c r="B38" s="11" t="inlineStr">
        <is>
          <t>Dani</t>
        </is>
      </c>
      <c r="C38" s="11" t="inlineStr">
        <is>
          <t>Ceballos</t>
        </is>
      </c>
      <c r="D38" s="11" t="inlineStr">
        <is>
          <t>Milieu offensif</t>
        </is>
      </c>
      <c r="E38" s="11" t="inlineStr">
        <is>
          <t>🇪🇸 ESP</t>
        </is>
      </c>
      <c r="F38" s="11" t="inlineStr">
        <is>
          <t>07/08/1996</t>
        </is>
      </c>
      <c r="G38" s="13" t="n">
        <v>28</v>
      </c>
      <c r="H38" s="13" t="inlineStr">
        <is>
          <t>177 cm</t>
        </is>
      </c>
      <c r="I38" s="13" t="inlineStr">
        <is>
          <t>D</t>
        </is>
      </c>
      <c r="J38" s="13" t="n">
        <v>19</v>
      </c>
      <c r="K38" s="13" t="n">
        <v>18</v>
      </c>
      <c r="L38" s="13" t="n">
        <v>1</v>
      </c>
      <c r="M38" s="13" t="n">
        <v>3</v>
      </c>
      <c r="N38" s="13" t="n">
        <v>20</v>
      </c>
      <c r="O38" s="13" t="inlineStr">
        <is>
          <t>2025</t>
        </is>
      </c>
      <c r="P38" s="25" t="inlineStr">
        <is>
          <t>Remplaçant</t>
        </is>
      </c>
      <c r="Q38" s="30" t="inlineStr">
        <is>
          <t>MOF</t>
        </is>
      </c>
      <c r="R38" s="11" t="inlineStr">
        <is>
          <t>Contrat fin saison</t>
        </is>
      </c>
    </row>
    <row r="39" ht="22" customHeight="1">
      <c r="A39" s="10" t="n">
        <v>14</v>
      </c>
      <c r="B39" s="8" t="inlineStr">
        <is>
          <t>Brahim</t>
        </is>
      </c>
      <c r="C39" s="8" t="inlineStr">
        <is>
          <t>Díaz</t>
        </is>
      </c>
      <c r="D39" s="8" t="inlineStr">
        <is>
          <t>Milieu offensif</t>
        </is>
      </c>
      <c r="E39" s="8" t="inlineStr">
        <is>
          <t>🇪🇸 ESP</t>
        </is>
      </c>
      <c r="F39" s="8" t="inlineStr">
        <is>
          <t>03/08/1999</t>
        </is>
      </c>
      <c r="G39" s="10" t="n">
        <v>25</v>
      </c>
      <c r="H39" s="10" t="inlineStr">
        <is>
          <t>172 cm</t>
        </is>
      </c>
      <c r="I39" s="10" t="inlineStr">
        <is>
          <t>D</t>
        </is>
      </c>
      <c r="J39" s="10" t="n">
        <v>21</v>
      </c>
      <c r="K39" s="10" t="n">
        <v>20</v>
      </c>
      <c r="L39" s="10" t="n">
        <v>6</v>
      </c>
      <c r="M39" s="10" t="n">
        <v>4</v>
      </c>
      <c r="N39" s="10" t="n">
        <v>25</v>
      </c>
      <c r="O39" s="10" t="inlineStr">
        <is>
          <t>2027</t>
        </is>
      </c>
      <c r="P39" s="25" t="inlineStr">
        <is>
          <t>Remplaçant</t>
        </is>
      </c>
      <c r="Q39" s="30" t="inlineStr">
        <is>
          <t>MOF</t>
        </is>
      </c>
      <c r="R39" s="8" t="inlineStr">
        <is>
          <t>Bon en rotation</t>
        </is>
      </c>
    </row>
    <row r="40" ht="22" customHeight="1">
      <c r="A40" s="13" t="n">
        <v>15</v>
      </c>
      <c r="B40" s="11" t="inlineStr">
        <is>
          <t>Arda</t>
        </is>
      </c>
      <c r="C40" s="11" t="inlineStr">
        <is>
          <t>Güler</t>
        </is>
      </c>
      <c r="D40" s="11" t="inlineStr">
        <is>
          <t>Milieu offensif</t>
        </is>
      </c>
      <c r="E40" s="11" t="inlineStr">
        <is>
          <t>🇹🇷 TUR</t>
        </is>
      </c>
      <c r="F40" s="11" t="inlineStr">
        <is>
          <t>25/02/2005</t>
        </is>
      </c>
      <c r="G40" s="13" t="n">
        <v>19</v>
      </c>
      <c r="H40" s="13" t="inlineStr">
        <is>
          <t>176 cm</t>
        </is>
      </c>
      <c r="I40" s="13" t="inlineStr">
        <is>
          <t>D</t>
        </is>
      </c>
      <c r="J40" s="13" t="n">
        <v>24</v>
      </c>
      <c r="K40" s="13" t="n">
        <v>18</v>
      </c>
      <c r="L40" s="13" t="n">
        <v>7</v>
      </c>
      <c r="M40" s="13" t="n">
        <v>4</v>
      </c>
      <c r="N40" s="13" t="n">
        <v>60</v>
      </c>
      <c r="O40" s="13" t="inlineStr">
        <is>
          <t>2029</t>
        </is>
      </c>
      <c r="P40" s="23" t="inlineStr">
        <is>
          <t>Titulaire</t>
        </is>
      </c>
      <c r="Q40" s="30" t="inlineStr">
        <is>
          <t>MOF</t>
        </is>
      </c>
      <c r="R40" s="11" t="inlineStr">
        <is>
          <t>Pépite 2025</t>
        </is>
      </c>
    </row>
    <row r="41" ht="22" customHeight="1">
      <c r="A41" s="10" t="n">
        <v>16</v>
      </c>
      <c r="B41" s="8" t="inlineStr">
        <is>
          <t>Vinícius</t>
        </is>
      </c>
      <c r="C41" s="8" t="inlineStr">
        <is>
          <t>Junior</t>
        </is>
      </c>
      <c r="D41" s="8" t="inlineStr">
        <is>
          <t>Ailier G</t>
        </is>
      </c>
      <c r="E41" s="8" t="inlineStr">
        <is>
          <t>🇧🇷 BRA</t>
        </is>
      </c>
      <c r="F41" s="8" t="inlineStr">
        <is>
          <t>12/07/2000</t>
        </is>
      </c>
      <c r="G41" s="10" t="n">
        <v>24</v>
      </c>
      <c r="H41" s="10" t="inlineStr">
        <is>
          <t>176 cm</t>
        </is>
      </c>
      <c r="I41" s="10" t="inlineStr">
        <is>
          <t>D</t>
        </is>
      </c>
      <c r="J41" s="10" t="n">
        <v>7</v>
      </c>
      <c r="K41" s="10" t="n">
        <v>36</v>
      </c>
      <c r="L41" s="10" t="n">
        <v>22</v>
      </c>
      <c r="M41" s="10" t="n">
        <v>15</v>
      </c>
      <c r="N41" s="10" t="n">
        <v>200</v>
      </c>
      <c r="O41" s="10" t="inlineStr">
        <is>
          <t>2027</t>
        </is>
      </c>
      <c r="P41" s="23" t="inlineStr">
        <is>
          <t>Titulaire</t>
        </is>
      </c>
      <c r="Q41" s="30" t="inlineStr">
        <is>
          <t>AIG</t>
        </is>
      </c>
      <c r="R41" s="8" t="inlineStr">
        <is>
          <t>Top scoreur</t>
        </is>
      </c>
    </row>
    <row r="42" ht="22" customHeight="1">
      <c r="A42" s="13" t="n">
        <v>17</v>
      </c>
      <c r="B42" s="11" t="inlineStr">
        <is>
          <t>Rodrygo</t>
        </is>
      </c>
      <c r="C42" s="11" t="inlineStr">
        <is>
          <t>Goes</t>
        </is>
      </c>
      <c r="D42" s="11" t="inlineStr">
        <is>
          <t>Ailier D</t>
        </is>
      </c>
      <c r="E42" s="11" t="inlineStr">
        <is>
          <t>🇧🇷 BRA</t>
        </is>
      </c>
      <c r="F42" s="11" t="inlineStr">
        <is>
          <t>09/01/2001</t>
        </is>
      </c>
      <c r="G42" s="13" t="n">
        <v>23</v>
      </c>
      <c r="H42" s="13" t="inlineStr">
        <is>
          <t>174 cm</t>
        </is>
      </c>
      <c r="I42" s="13" t="inlineStr">
        <is>
          <t>G</t>
        </is>
      </c>
      <c r="J42" s="13" t="n">
        <v>11</v>
      </c>
      <c r="K42" s="13" t="n">
        <v>34</v>
      </c>
      <c r="L42" s="13" t="n">
        <v>16</v>
      </c>
      <c r="M42" s="13" t="n">
        <v>10</v>
      </c>
      <c r="N42" s="13" t="n">
        <v>150</v>
      </c>
      <c r="O42" s="13" t="inlineStr">
        <is>
          <t>2028</t>
        </is>
      </c>
      <c r="P42" s="23" t="inlineStr">
        <is>
          <t>Titulaire</t>
        </is>
      </c>
      <c r="Q42" s="30" t="inlineStr">
        <is>
          <t>AID</t>
        </is>
      </c>
      <c r="R42" s="11" t="inlineStr">
        <is>
          <t>Décisif en UCL</t>
        </is>
      </c>
    </row>
    <row r="43" ht="22" customHeight="1">
      <c r="A43" s="10" t="n">
        <v>18</v>
      </c>
      <c r="B43" s="8" t="inlineStr">
        <is>
          <t>Jude</t>
        </is>
      </c>
      <c r="C43" s="8" t="inlineStr">
        <is>
          <t>Bellingham</t>
        </is>
      </c>
      <c r="D43" s="8" t="inlineStr">
        <is>
          <t>Milieu off. / ATT</t>
        </is>
      </c>
      <c r="E43" s="8" t="inlineStr">
        <is>
          <t>🇬🇧 ENG</t>
        </is>
      </c>
      <c r="F43" s="8" t="inlineStr">
        <is>
          <t>29/06/2003</t>
        </is>
      </c>
      <c r="G43" s="10" t="n">
        <v>21</v>
      </c>
      <c r="H43" s="10" t="inlineStr">
        <is>
          <t>186 cm</t>
        </is>
      </c>
      <c r="I43" s="10" t="inlineStr">
        <is>
          <t>D</t>
        </is>
      </c>
      <c r="J43" s="10" t="n">
        <v>5</v>
      </c>
      <c r="K43" s="10" t="n">
        <v>32</v>
      </c>
      <c r="L43" s="10" t="n">
        <v>19</v>
      </c>
      <c r="M43" s="10" t="n">
        <v>12</v>
      </c>
      <c r="N43" s="10" t="n">
        <v>200</v>
      </c>
      <c r="O43" s="10" t="inlineStr">
        <is>
          <t>2029</t>
        </is>
      </c>
      <c r="P43" s="23" t="inlineStr">
        <is>
          <t>Titulaire</t>
        </is>
      </c>
      <c r="Q43" s="30" t="inlineStr">
        <is>
          <t>MOF</t>
        </is>
      </c>
      <c r="R43" s="8" t="inlineStr">
        <is>
          <t>Ballon d'Or candidat</t>
        </is>
      </c>
    </row>
    <row r="44" ht="22" customHeight="1">
      <c r="A44" s="13" t="n">
        <v>19</v>
      </c>
      <c r="B44" s="11" t="inlineStr">
        <is>
          <t>Kylian</t>
        </is>
      </c>
      <c r="C44" s="11" t="inlineStr">
        <is>
          <t>Mbappé</t>
        </is>
      </c>
      <c r="D44" s="11" t="inlineStr">
        <is>
          <t>Attaquant</t>
        </is>
      </c>
      <c r="E44" s="11" t="inlineStr">
        <is>
          <t>🇫🇷 FRA</t>
        </is>
      </c>
      <c r="F44" s="11" t="inlineStr">
        <is>
          <t>20/12/1998</t>
        </is>
      </c>
      <c r="G44" s="13" t="n">
        <v>25</v>
      </c>
      <c r="H44" s="13" t="inlineStr">
        <is>
          <t>178 cm</t>
        </is>
      </c>
      <c r="I44" s="13" t="inlineStr">
        <is>
          <t>D</t>
        </is>
      </c>
      <c r="J44" s="13" t="n">
        <v>9</v>
      </c>
      <c r="K44" s="13" t="n">
        <v>35</v>
      </c>
      <c r="L44" s="13" t="n">
        <v>28</v>
      </c>
      <c r="M44" s="13" t="n">
        <v>8</v>
      </c>
      <c r="N44" s="13" t="n">
        <v>180</v>
      </c>
      <c r="O44" s="13" t="inlineStr">
        <is>
          <t>2029</t>
        </is>
      </c>
      <c r="P44" s="23" t="inlineStr">
        <is>
          <t>Titulaire</t>
        </is>
      </c>
      <c r="Q44" s="31" t="inlineStr">
        <is>
          <t>ATT</t>
        </is>
      </c>
      <c r="R44" s="11" t="inlineStr">
        <is>
          <t>Meilleur buteur Liga</t>
        </is>
      </c>
    </row>
    <row r="45" ht="22" customHeight="1">
      <c r="A45" s="10" t="n">
        <v>20</v>
      </c>
      <c r="B45" s="8" t="inlineStr">
        <is>
          <t>Joselu</t>
        </is>
      </c>
      <c r="C45" s="8" t="inlineStr">
        <is>
          <t>Mato</t>
        </is>
      </c>
      <c r="D45" s="8" t="inlineStr">
        <is>
          <t>Attaquant</t>
        </is>
      </c>
      <c r="E45" s="8" t="inlineStr">
        <is>
          <t>🇪🇸 ESP</t>
        </is>
      </c>
      <c r="F45" s="8" t="inlineStr">
        <is>
          <t>27/03/1990</t>
        </is>
      </c>
      <c r="G45" s="10" t="n">
        <v>34</v>
      </c>
      <c r="H45" s="10" t="inlineStr">
        <is>
          <t>191 cm</t>
        </is>
      </c>
      <c r="I45" s="10" t="inlineStr">
        <is>
          <t>D</t>
        </is>
      </c>
      <c r="J45" s="10" t="n">
        <v>14</v>
      </c>
      <c r="K45" s="10" t="n">
        <v>20</v>
      </c>
      <c r="L45" s="10" t="n">
        <v>8</v>
      </c>
      <c r="M45" s="10" t="n">
        <v>2</v>
      </c>
      <c r="N45" s="10" t="n">
        <v>5</v>
      </c>
      <c r="O45" s="10" t="inlineStr">
        <is>
          <t>2025</t>
        </is>
      </c>
      <c r="P45" s="25" t="inlineStr">
        <is>
          <t>Remplaçant</t>
        </is>
      </c>
      <c r="Q45" s="31" t="inlineStr">
        <is>
          <t>ATT</t>
        </is>
      </c>
      <c r="R45" s="8" t="inlineStr">
        <is>
          <t>Joker de luxe</t>
        </is>
      </c>
    </row>
    <row r="46" ht="24" customHeight="1">
      <c r="A46" s="32" t="inlineStr">
        <is>
          <t>📊  TOTAUX SAISON</t>
        </is>
      </c>
      <c r="K46" s="32">
        <f>SUM(K26:K45)</f>
        <v/>
      </c>
      <c r="L46" s="32">
        <f>SUM(L26:L45)</f>
        <v/>
      </c>
      <c r="M46" s="32">
        <f>SUM(M26:M45)</f>
        <v/>
      </c>
    </row>
    <row r="48" ht="30" customHeight="1">
      <c r="A48" s="33" t="inlineStr">
        <is>
          <t>🏢  STAFF ADMINISTRATIF</t>
        </is>
      </c>
    </row>
    <row r="49" ht="28" customHeight="1">
      <c r="A49" s="34" t="inlineStr">
        <is>
          <t>#</t>
        </is>
      </c>
      <c r="B49" s="34" t="inlineStr">
        <is>
          <t>Prénom</t>
        </is>
      </c>
      <c r="C49" s="34" t="inlineStr">
        <is>
          <t>Nom</t>
        </is>
      </c>
      <c r="D49" s="34" t="inlineStr">
        <is>
          <t>Rôle</t>
        </is>
      </c>
      <c r="E49" s="34" t="inlineStr">
        <is>
          <t>Département</t>
        </is>
      </c>
      <c r="F49" s="34" t="inlineStr">
        <is>
          <t>Email (fictif)</t>
        </is>
      </c>
      <c r="G49" s="34" t="inlineStr">
        <is>
          <t>Téléphone</t>
        </is>
      </c>
      <c r="H49" s="34" t="inlineStr">
        <is>
          <t>Depuis</t>
        </is>
      </c>
      <c r="I49" s="34" t="inlineStr">
        <is>
          <t>Contrat</t>
        </is>
      </c>
      <c r="J49" s="34" t="inlineStr">
        <is>
          <t>Notes</t>
        </is>
      </c>
    </row>
    <row r="50" ht="20" customHeight="1">
      <c r="A50" s="13" t="n">
        <v>1</v>
      </c>
      <c r="B50" s="11" t="inlineStr">
        <is>
          <t>Florentino</t>
        </is>
      </c>
      <c r="C50" s="11" t="inlineStr">
        <is>
          <t>Pérez</t>
        </is>
      </c>
      <c r="D50" s="11" t="inlineStr">
        <is>
          <t>Président</t>
        </is>
      </c>
      <c r="E50" s="9" t="inlineStr">
        <is>
          <t>Direction</t>
        </is>
      </c>
      <c r="F50" s="11" t="inlineStr">
        <is>
          <t>presidente@realmadrid.com</t>
        </is>
      </c>
      <c r="G50" s="11" t="inlineStr">
        <is>
          <t>+34 91 000 001</t>
        </is>
      </c>
      <c r="H50" s="13" t="inlineStr">
        <is>
          <t>2000</t>
        </is>
      </c>
      <c r="I50" s="13" t="inlineStr">
        <is>
          <t>2025</t>
        </is>
      </c>
      <c r="J50" s="11" t="inlineStr">
        <is>
          <t>Mandat renouvelé</t>
        </is>
      </c>
    </row>
    <row r="51" ht="20" customHeight="1">
      <c r="A51" s="10" t="n">
        <v>2</v>
      </c>
      <c r="B51" s="8" t="inlineStr">
        <is>
          <t>Enrique</t>
        </is>
      </c>
      <c r="C51" s="8" t="inlineStr">
        <is>
          <t>Sánchez</t>
        </is>
      </c>
      <c r="D51" s="8" t="inlineStr">
        <is>
          <t>Vice-président</t>
        </is>
      </c>
      <c r="E51" s="9" t="inlineStr">
        <is>
          <t>Direction</t>
        </is>
      </c>
      <c r="F51" s="8" t="inlineStr">
        <is>
          <t>vp@realmadrid.com</t>
        </is>
      </c>
      <c r="G51" s="8" t="inlineStr">
        <is>
          <t>+34 91 000 002</t>
        </is>
      </c>
      <c r="H51" s="10" t="inlineStr">
        <is>
          <t>2004</t>
        </is>
      </c>
      <c r="I51" s="10" t="inlineStr">
        <is>
          <t>2025</t>
        </is>
      </c>
      <c r="J51" s="8" t="inlineStr">
        <is>
          <t>Délégué général</t>
        </is>
      </c>
    </row>
    <row r="52" ht="20" customHeight="1">
      <c r="A52" s="13" t="n">
        <v>3</v>
      </c>
      <c r="B52" s="11" t="inlineStr">
        <is>
          <t>José Ángel</t>
        </is>
      </c>
      <c r="C52" s="11" t="inlineStr">
        <is>
          <t>Sánchez</t>
        </is>
      </c>
      <c r="D52" s="11" t="inlineStr">
        <is>
          <t>Directeur Général</t>
        </is>
      </c>
      <c r="E52" s="9" t="inlineStr">
        <is>
          <t>Direction</t>
        </is>
      </c>
      <c r="F52" s="11" t="inlineStr">
        <is>
          <t>dg@realmadrid.com</t>
        </is>
      </c>
      <c r="G52" s="11" t="inlineStr">
        <is>
          <t>+34 91 000 003</t>
        </is>
      </c>
      <c r="H52" s="13" t="inlineStr">
        <is>
          <t>2018</t>
        </is>
      </c>
      <c r="I52" s="13" t="inlineStr">
        <is>
          <t>2026</t>
        </is>
      </c>
      <c r="J52" s="11" t="inlineStr">
        <is>
          <t>Stratégie globale</t>
        </is>
      </c>
    </row>
    <row r="53" ht="20" customHeight="1">
      <c r="A53" s="10" t="n">
        <v>4</v>
      </c>
      <c r="B53" s="8" t="inlineStr">
        <is>
          <t>Juan Carlos</t>
        </is>
      </c>
      <c r="C53" s="8" t="inlineStr">
        <is>
          <t>Sánchez</t>
        </is>
      </c>
      <c r="D53" s="8" t="inlineStr">
        <is>
          <t>Directeur sportif</t>
        </is>
      </c>
      <c r="E53" s="12" t="inlineStr">
        <is>
          <t>Sport</t>
        </is>
      </c>
      <c r="F53" s="8" t="inlineStr">
        <is>
          <t>ds@realmadrid.com</t>
        </is>
      </c>
      <c r="G53" s="8" t="inlineStr">
        <is>
          <t>+34 91 000 004</t>
        </is>
      </c>
      <c r="H53" s="10" t="inlineStr">
        <is>
          <t>2022</t>
        </is>
      </c>
      <c r="I53" s="10" t="inlineStr">
        <is>
          <t>2026</t>
        </is>
      </c>
      <c r="J53" s="8" t="inlineStr">
        <is>
          <t>Transferts &amp; scouting</t>
        </is>
      </c>
    </row>
    <row r="54" ht="20" customHeight="1">
      <c r="A54" s="13" t="n">
        <v>5</v>
      </c>
      <c r="B54" s="11" t="inlineStr">
        <is>
          <t>Manuel</t>
        </is>
      </c>
      <c r="C54" s="11" t="inlineStr">
        <is>
          <t>Doblado</t>
        </is>
      </c>
      <c r="D54" s="11" t="inlineStr">
        <is>
          <t>Chef scouting</t>
        </is>
      </c>
      <c r="E54" s="12" t="inlineStr">
        <is>
          <t>Sport</t>
        </is>
      </c>
      <c r="F54" s="11" t="inlineStr">
        <is>
          <t>scouting@realmadrid.com</t>
        </is>
      </c>
      <c r="G54" s="11" t="inlineStr">
        <is>
          <t>+34 91 000 005</t>
        </is>
      </c>
      <c r="H54" s="13" t="inlineStr">
        <is>
          <t>2015</t>
        </is>
      </c>
      <c r="I54" s="13" t="inlineStr">
        <is>
          <t>2026</t>
        </is>
      </c>
      <c r="J54" s="11" t="inlineStr">
        <is>
          <t>Détection talents</t>
        </is>
      </c>
    </row>
    <row r="55" ht="20" customHeight="1">
      <c r="A55" s="10" t="n">
        <v>6</v>
      </c>
      <c r="B55" s="8" t="inlineStr">
        <is>
          <t>Pedro</t>
        </is>
      </c>
      <c r="C55" s="8" t="inlineStr">
        <is>
          <t>Martín</t>
        </is>
      </c>
      <c r="D55" s="8" t="inlineStr">
        <is>
          <t>Scouting Europe</t>
        </is>
      </c>
      <c r="E55" s="12" t="inlineStr">
        <is>
          <t>Sport</t>
        </is>
      </c>
      <c r="F55" s="8" t="inlineStr">
        <is>
          <t>scouting.eu@realmadrid.com</t>
        </is>
      </c>
      <c r="G55" s="8" t="inlineStr">
        <is>
          <t>+34 91 000 006</t>
        </is>
      </c>
      <c r="H55" s="10" t="inlineStr">
        <is>
          <t>2017</t>
        </is>
      </c>
      <c r="I55" s="10" t="inlineStr">
        <is>
          <t>2026</t>
        </is>
      </c>
      <c r="J55" s="8" t="inlineStr">
        <is>
          <t>Zone UEFA</t>
        </is>
      </c>
    </row>
    <row r="56" ht="20" customHeight="1">
      <c r="A56" s="13" t="n">
        <v>7</v>
      </c>
      <c r="B56" s="11" t="inlineStr">
        <is>
          <t>Ana</t>
        </is>
      </c>
      <c r="C56" s="11" t="inlineStr">
        <is>
          <t>López</t>
        </is>
      </c>
      <c r="D56" s="11" t="inlineStr">
        <is>
          <t>Directrice communication</t>
        </is>
      </c>
      <c r="E56" s="15" t="inlineStr">
        <is>
          <t>Comm &amp; Médias</t>
        </is>
      </c>
      <c r="F56" s="11" t="inlineStr">
        <is>
          <t>comms@realmadrid.com</t>
        </is>
      </c>
      <c r="G56" s="11" t="inlineStr">
        <is>
          <t>+34 91 000 007</t>
        </is>
      </c>
      <c r="H56" s="13" t="inlineStr">
        <is>
          <t>2019</t>
        </is>
      </c>
      <c r="I56" s="13" t="inlineStr">
        <is>
          <t>2026</t>
        </is>
      </c>
      <c r="J56" s="11" t="inlineStr">
        <is>
          <t>Relations presse</t>
        </is>
      </c>
    </row>
    <row r="57" ht="20" customHeight="1">
      <c r="A57" s="10" t="n">
        <v>8</v>
      </c>
      <c r="B57" s="8" t="inlineStr">
        <is>
          <t>Carlos</t>
        </is>
      </c>
      <c r="C57" s="8" t="inlineStr">
        <is>
          <t>García</t>
        </is>
      </c>
      <c r="D57" s="8" t="inlineStr">
        <is>
          <t>Responsable digital</t>
        </is>
      </c>
      <c r="E57" s="15" t="inlineStr">
        <is>
          <t>Comm &amp; Médias</t>
        </is>
      </c>
      <c r="F57" s="8" t="inlineStr">
        <is>
          <t>digital@realmadrid.com</t>
        </is>
      </c>
      <c r="G57" s="8" t="inlineStr">
        <is>
          <t>+34 91 000 008</t>
        </is>
      </c>
      <c r="H57" s="10" t="inlineStr">
        <is>
          <t>2020</t>
        </is>
      </c>
      <c r="I57" s="10" t="inlineStr">
        <is>
          <t>2026</t>
        </is>
      </c>
      <c r="J57" s="8" t="inlineStr">
        <is>
          <t>Réseaux sociaux</t>
        </is>
      </c>
    </row>
    <row r="58" ht="20" customHeight="1">
      <c r="A58" s="13" t="n">
        <v>9</v>
      </c>
      <c r="B58" s="11" t="inlineStr">
        <is>
          <t>María</t>
        </is>
      </c>
      <c r="C58" s="11" t="inlineStr">
        <is>
          <t>Rodríguez</t>
        </is>
      </c>
      <c r="D58" s="11" t="inlineStr">
        <is>
          <t>CFO</t>
        </is>
      </c>
      <c r="E58" s="14" t="inlineStr">
        <is>
          <t>Finance</t>
        </is>
      </c>
      <c r="F58" s="11" t="inlineStr">
        <is>
          <t>cfo@realmadrid.com</t>
        </is>
      </c>
      <c r="G58" s="11" t="inlineStr">
        <is>
          <t>+34 91 000 009</t>
        </is>
      </c>
      <c r="H58" s="13" t="inlineStr">
        <is>
          <t>2016</t>
        </is>
      </c>
      <c r="I58" s="13" t="inlineStr">
        <is>
          <t>2026</t>
        </is>
      </c>
      <c r="J58" s="11" t="inlineStr">
        <is>
          <t>Budget &amp; finances</t>
        </is>
      </c>
    </row>
    <row r="59" ht="20" customHeight="1">
      <c r="A59" s="10" t="n">
        <v>10</v>
      </c>
      <c r="B59" s="8" t="inlineStr">
        <is>
          <t>Jorge</t>
        </is>
      </c>
      <c r="C59" s="8" t="inlineStr">
        <is>
          <t>Fernández</t>
        </is>
      </c>
      <c r="D59" s="8" t="inlineStr">
        <is>
          <t>Contrôleur gestion</t>
        </is>
      </c>
      <c r="E59" s="14" t="inlineStr">
        <is>
          <t>Finance</t>
        </is>
      </c>
      <c r="F59" s="8" t="inlineStr">
        <is>
          <t>controlling@realmadrid.com</t>
        </is>
      </c>
      <c r="G59" s="8" t="inlineStr">
        <is>
          <t>+34 91 000 010</t>
        </is>
      </c>
      <c r="H59" s="10" t="inlineStr">
        <is>
          <t>2018</t>
        </is>
      </c>
      <c r="I59" s="10" t="inlineStr">
        <is>
          <t>2026</t>
        </is>
      </c>
      <c r="J59" s="8" t="inlineStr">
        <is>
          <t>Reporting</t>
        </is>
      </c>
    </row>
    <row r="60" ht="20" customHeight="1">
      <c r="A60" s="13" t="n">
        <v>11</v>
      </c>
      <c r="B60" s="11" t="inlineStr">
        <is>
          <t>Isabel</t>
        </is>
      </c>
      <c r="C60" s="11" t="inlineStr">
        <is>
          <t>Martínez</t>
        </is>
      </c>
      <c r="D60" s="11" t="inlineStr">
        <is>
          <t>Directrice RH</t>
        </is>
      </c>
      <c r="E60" s="16" t="inlineStr">
        <is>
          <t>RH</t>
        </is>
      </c>
      <c r="F60" s="11" t="inlineStr">
        <is>
          <t>rh@realmadrid.com</t>
        </is>
      </c>
      <c r="G60" s="11" t="inlineStr">
        <is>
          <t>+34 91 000 011</t>
        </is>
      </c>
      <c r="H60" s="13" t="inlineStr">
        <is>
          <t>2014</t>
        </is>
      </c>
      <c r="I60" s="13" t="inlineStr">
        <is>
          <t>2026</t>
        </is>
      </c>
      <c r="J60" s="11" t="inlineStr">
        <is>
          <t>Gestion personnel</t>
        </is>
      </c>
    </row>
    <row r="61" ht="20" customHeight="1">
      <c r="A61" s="10" t="n">
        <v>12</v>
      </c>
      <c r="B61" s="8" t="inlineStr">
        <is>
          <t>David</t>
        </is>
      </c>
      <c r="C61" s="8" t="inlineStr">
        <is>
          <t>Torres</t>
        </is>
      </c>
      <c r="D61" s="8" t="inlineStr">
        <is>
          <t>Billetterie</t>
        </is>
      </c>
      <c r="E61" s="20" t="inlineStr">
        <is>
          <t>Opérations</t>
        </is>
      </c>
      <c r="F61" s="8" t="inlineStr">
        <is>
          <t>tickets@realmadrid.com</t>
        </is>
      </c>
      <c r="G61" s="8" t="inlineStr">
        <is>
          <t>+34 91 000 012</t>
        </is>
      </c>
      <c r="H61" s="10" t="inlineStr">
        <is>
          <t>2010</t>
        </is>
      </c>
      <c r="I61" s="10" t="inlineStr">
        <is>
          <t>2026</t>
        </is>
      </c>
      <c r="J61" s="8" t="inlineStr">
        <is>
          <t>Stade &amp; déplacements</t>
        </is>
      </c>
    </row>
    <row r="62" ht="20" customHeight="1">
      <c r="A62" s="13" t="n">
        <v>13</v>
      </c>
      <c r="B62" s="11" t="inlineStr">
        <is>
          <t>Sergio</t>
        </is>
      </c>
      <c r="C62" s="11" t="inlineStr">
        <is>
          <t>Vega</t>
        </is>
      </c>
      <c r="D62" s="11" t="inlineStr">
        <is>
          <t>Sécurité</t>
        </is>
      </c>
      <c r="E62" s="20" t="inlineStr">
        <is>
          <t>Opérations</t>
        </is>
      </c>
      <c r="F62" s="11" t="inlineStr">
        <is>
          <t>security@realmadrid.com</t>
        </is>
      </c>
      <c r="G62" s="11" t="inlineStr">
        <is>
          <t>+34 91 000 013</t>
        </is>
      </c>
      <c r="H62" s="13" t="inlineStr">
        <is>
          <t>2012</t>
        </is>
      </c>
      <c r="I62" s="13" t="inlineStr">
        <is>
          <t>2026</t>
        </is>
      </c>
      <c r="J62" s="11" t="inlineStr">
        <is>
          <t>Sécurité stade</t>
        </is>
      </c>
    </row>
    <row r="63" ht="20" customHeight="1">
      <c r="A63" s="10" t="n">
        <v>14</v>
      </c>
      <c r="B63" s="8" t="inlineStr">
        <is>
          <t>Laura</t>
        </is>
      </c>
      <c r="C63" s="8" t="inlineStr">
        <is>
          <t>Blanco</t>
        </is>
      </c>
      <c r="D63" s="8" t="inlineStr">
        <is>
          <t>Marketing</t>
        </is>
      </c>
      <c r="E63" s="31" t="inlineStr">
        <is>
          <t>Marketing</t>
        </is>
      </c>
      <c r="F63" s="8" t="inlineStr">
        <is>
          <t>marketing@realmadrid.com</t>
        </is>
      </c>
      <c r="G63" s="8" t="inlineStr">
        <is>
          <t>+34 91 000 014</t>
        </is>
      </c>
      <c r="H63" s="10" t="inlineStr">
        <is>
          <t>2021</t>
        </is>
      </c>
      <c r="I63" s="10" t="inlineStr">
        <is>
          <t>2026</t>
        </is>
      </c>
      <c r="J63" s="8" t="inlineStr">
        <is>
          <t>Partenariats sponsors</t>
        </is>
      </c>
    </row>
    <row r="64" ht="20" customHeight="1">
      <c r="A64" s="13" t="n">
        <v>15</v>
      </c>
      <c r="B64" s="11" t="inlineStr">
        <is>
          <t>Roberto</t>
        </is>
      </c>
      <c r="C64" s="11" t="inlineStr">
        <is>
          <t>Campos</t>
        </is>
      </c>
      <c r="D64" s="11" t="inlineStr">
        <is>
          <t>Merchandising</t>
        </is>
      </c>
      <c r="E64" s="31" t="inlineStr">
        <is>
          <t>Marketing</t>
        </is>
      </c>
      <c r="F64" s="11" t="inlineStr">
        <is>
          <t>shop@realmadrid.com</t>
        </is>
      </c>
      <c r="G64" s="11" t="inlineStr">
        <is>
          <t>+34 91 000 015</t>
        </is>
      </c>
      <c r="H64" s="13" t="inlineStr">
        <is>
          <t>2015</t>
        </is>
      </c>
      <c r="I64" s="13" t="inlineStr">
        <is>
          <t>2026</t>
        </is>
      </c>
      <c r="J64" s="11" t="inlineStr">
        <is>
          <t>Produits dérivés</t>
        </is>
      </c>
    </row>
    <row r="66" ht="30" customHeight="1">
      <c r="A66" s="21" t="inlineStr">
        <is>
          <t>📊  RÉSUMÉ GLOBAL</t>
        </is>
      </c>
    </row>
    <row r="67" ht="22" customHeight="1">
      <c r="A67" s="4" t="inlineStr">
        <is>
          <t>Total joueurs effectif</t>
        </is>
      </c>
      <c r="D67" s="35" t="inlineStr">
        <is>
          <t>20</t>
        </is>
      </c>
      <c r="G67" s="36" t="inlineStr">
        <is>
          <t>Titulaires</t>
        </is>
      </c>
      <c r="J67" s="35">
        <f>COUNTIF(P26:P45,"Titulaire")</f>
        <v/>
      </c>
    </row>
    <row r="68" ht="22" customHeight="1">
      <c r="A68" s="4" t="inlineStr">
        <is>
          <t>Total staff technique</t>
        </is>
      </c>
      <c r="D68" s="35" t="inlineStr">
        <is>
          <t>13</t>
        </is>
      </c>
      <c r="G68" s="36" t="inlineStr">
        <is>
          <t>Remplaçants</t>
        </is>
      </c>
      <c r="J68" s="35">
        <f>COUNTIF(P26:P45,"Remplaçant")</f>
        <v/>
      </c>
    </row>
    <row r="69" ht="22" customHeight="1">
      <c r="A69" s="4" t="inlineStr">
        <is>
          <t>Total staff administratif</t>
        </is>
      </c>
      <c r="D69" s="35" t="inlineStr">
        <is>
          <t>15</t>
        </is>
      </c>
      <c r="G69" s="36" t="inlineStr">
        <is>
          <t>Blessés</t>
        </is>
      </c>
      <c r="J69" s="35">
        <f>COUNTIF(P26:P45,"Blessé")</f>
        <v/>
      </c>
    </row>
    <row r="70" ht="22" customHeight="1">
      <c r="A70" s="4" t="inlineStr">
        <is>
          <t>TOTAL PERSONNES</t>
        </is>
      </c>
      <c r="D70" s="35" t="inlineStr">
        <is>
          <t>48</t>
        </is>
      </c>
      <c r="G70" s="36" t="inlineStr">
        <is>
          <t>Buts totaux</t>
        </is>
      </c>
      <c r="J70" s="35">
        <f>SUM(L26:L45)</f>
        <v/>
      </c>
    </row>
    <row r="71" ht="22" customHeight="1">
      <c r="A71" s="4" t="inlineStr"/>
      <c r="D71" s="35" t="inlineStr"/>
      <c r="G71" s="36" t="inlineStr">
        <is>
          <t>Passes D. totales</t>
        </is>
      </c>
      <c r="J71" s="35">
        <f>SUM(M26:M45)</f>
        <v/>
      </c>
    </row>
  </sheetData>
  <mergeCells count="59">
    <mergeCell ref="D69:E69"/>
    <mergeCell ref="C10:H10"/>
    <mergeCell ref="C16:H16"/>
    <mergeCell ref="A15:B15"/>
    <mergeCell ref="J67:K67"/>
    <mergeCell ref="A11:B11"/>
    <mergeCell ref="C9:H9"/>
    <mergeCell ref="G69:I69"/>
    <mergeCell ref="A66:R66"/>
    <mergeCell ref="C12:H12"/>
    <mergeCell ref="G68:I68"/>
    <mergeCell ref="J69:K69"/>
    <mergeCell ref="A6:B6"/>
    <mergeCell ref="C11:H11"/>
    <mergeCell ref="J68:K68"/>
    <mergeCell ref="A16:B16"/>
    <mergeCell ref="A71:C71"/>
    <mergeCell ref="A7:B7"/>
    <mergeCell ref="C8:H8"/>
    <mergeCell ref="C17:H17"/>
    <mergeCell ref="A18:B18"/>
    <mergeCell ref="D70:E70"/>
    <mergeCell ref="C7:H7"/>
    <mergeCell ref="J3:R3"/>
    <mergeCell ref="A12:B12"/>
    <mergeCell ref="J70:K70"/>
    <mergeCell ref="A3:H3"/>
    <mergeCell ref="C19:H19"/>
    <mergeCell ref="A68:C68"/>
    <mergeCell ref="C13:H13"/>
    <mergeCell ref="A5:B5"/>
    <mergeCell ref="A67:C67"/>
    <mergeCell ref="A14:B14"/>
    <mergeCell ref="C18:H18"/>
    <mergeCell ref="A17:B17"/>
    <mergeCell ref="D71:E71"/>
    <mergeCell ref="A8:B8"/>
    <mergeCell ref="C15:H15"/>
    <mergeCell ref="A4:B4"/>
    <mergeCell ref="A48:R48"/>
    <mergeCell ref="C6:H6"/>
    <mergeCell ref="A46:J46"/>
    <mergeCell ref="G71:I71"/>
    <mergeCell ref="D68:E68"/>
    <mergeCell ref="C14:H14"/>
    <mergeCell ref="A24:R24"/>
    <mergeCell ref="C5:H5"/>
    <mergeCell ref="A19:B19"/>
    <mergeCell ref="D67:E67"/>
    <mergeCell ref="A10:B10"/>
    <mergeCell ref="G67:I67"/>
    <mergeCell ref="G70:I70"/>
    <mergeCell ref="A70:C70"/>
    <mergeCell ref="A13:B13"/>
    <mergeCell ref="J71:K71"/>
    <mergeCell ref="C4:H4"/>
    <mergeCell ref="A1:R1"/>
    <mergeCell ref="A69:C69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2026-05-21T10:50:00Z</dcterms:created>
  <dcterms:modified xmlns:dcterms="http://purl.org/dc/terms/" xmlns:xsi="http://www.w3.org/2001/XMLSchema-instance" xsi:type="dcterms:W3CDTF">2026-05-21T10:50:00Z</dcterms:modified>
</cp:coreProperties>
</file>